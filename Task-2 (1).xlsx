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020D5FA9705AA3/Documents/"/>
    </mc:Choice>
  </mc:AlternateContent>
  <xr:revisionPtr revIDLastSave="171" documentId="8_{6ED5E23E-209F-4587-B0A8-9D52C36F13B2}" xr6:coauthVersionLast="47" xr6:coauthVersionMax="47" xr10:uidLastSave="{C8CBCE68-82D4-4F8E-9114-62AEA1FE14F0}"/>
  <bookViews>
    <workbookView xWindow="24" yWindow="24" windowWidth="23016" windowHeight="12936" activeTab="6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4" l="1"/>
  <c r="E10" i="14"/>
  <c r="E9" i="14"/>
  <c r="G11" i="15"/>
  <c r="G10" i="15"/>
  <c r="G9" i="15"/>
  <c r="G8" i="15"/>
  <c r="G7" i="15"/>
  <c r="G6" i="15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12" i="13"/>
  <c r="J13" i="13" a="1"/>
  <c r="J13" i="13" s="1"/>
  <c r="J14" i="13" a="1"/>
  <c r="J14" i="13" s="1"/>
  <c r="J15" i="13" a="1"/>
  <c r="J15" i="13" s="1"/>
  <c r="J16" i="13" a="1"/>
  <c r="J16" i="13" s="1"/>
  <c r="J17" i="13" a="1"/>
  <c r="J17" i="13" s="1"/>
  <c r="J18" i="13" a="1"/>
  <c r="J18" i="13"/>
  <c r="J19" i="13" a="1"/>
  <c r="J19" i="13" s="1"/>
  <c r="J20" i="13" a="1"/>
  <c r="J20" i="13" s="1"/>
  <c r="J21" i="13" a="1"/>
  <c r="J21" i="13" s="1"/>
  <c r="J22" i="13" a="1"/>
  <c r="J22" i="13" s="1"/>
  <c r="J23" i="13" a="1"/>
  <c r="J23" i="13"/>
  <c r="J24" i="13" a="1"/>
  <c r="J24" i="13"/>
  <c r="J25" i="13" a="1"/>
  <c r="J25" i="13" s="1"/>
  <c r="J26" i="13" a="1"/>
  <c r="J26" i="13"/>
  <c r="J27" i="13" a="1"/>
  <c r="J27" i="13" s="1"/>
  <c r="J28" i="13" a="1"/>
  <c r="J28" i="13"/>
  <c r="J29" i="13" a="1"/>
  <c r="J29" i="13" s="1"/>
  <c r="J30" i="13" a="1"/>
  <c r="J30" i="13"/>
  <c r="J31" i="13" a="1"/>
  <c r="J31" i="13" s="1"/>
  <c r="J32" i="13" a="1"/>
  <c r="J32" i="13"/>
  <c r="J33" i="13" a="1"/>
  <c r="J33" i="13" s="1"/>
  <c r="J34" i="13" a="1"/>
  <c r="J34" i="13"/>
  <c r="J12" i="13" a="1"/>
  <c r="J12" i="13" s="1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12" i="13"/>
  <c r="G6" i="16"/>
  <c r="G5" i="16"/>
  <c r="B5" i="6"/>
  <c r="G6" i="6"/>
  <c r="G7" i="6"/>
  <c r="G8" i="6"/>
  <c r="G9" i="6"/>
  <c r="G10" i="6"/>
  <c r="G11" i="6"/>
  <c r="G12" i="6"/>
  <c r="G13" i="6"/>
  <c r="G14" i="6"/>
  <c r="G15" i="6"/>
  <c r="G16" i="6"/>
  <c r="G5" i="6"/>
  <c r="D3" i="1" a="1"/>
  <c r="D3" i="1" s="1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B6" i="6"/>
  <c r="B7" i="6"/>
  <c r="B8" i="6"/>
  <c r="B9" i="6"/>
  <c r="B10" i="6"/>
  <c r="B11" i="6"/>
  <c r="B12" i="6"/>
  <c r="B13" i="6"/>
  <c r="B14" i="6"/>
  <c r="B15" i="6"/>
  <c r="B16" i="6"/>
  <c r="C6" i="6"/>
  <c r="C7" i="6"/>
  <c r="C8" i="6"/>
  <c r="C9" i="6"/>
  <c r="C10" i="6"/>
  <c r="C11" i="6"/>
  <c r="C12" i="6"/>
  <c r="C13" i="6"/>
  <c r="C14" i="6"/>
  <c r="C15" i="6"/>
  <c r="C16" i="6"/>
  <c r="C5" i="6"/>
  <c r="D7" i="1" a="1"/>
  <c r="D7" i="1" s="1"/>
  <c r="B5" i="12" l="1" a="1"/>
  <c r="B5" i="12" s="1"/>
  <c r="B2" i="3"/>
  <c r="I5" i="9"/>
  <c r="G8" i="9"/>
  <c r="G7" i="9"/>
  <c r="G9" i="9"/>
  <c r="G10" i="9"/>
  <c r="G11" i="9"/>
  <c r="F5" i="9"/>
  <c r="G7" i="16"/>
  <c r="G8" i="16"/>
  <c r="F6" i="9"/>
  <c r="F7" i="9"/>
  <c r="F8" i="9"/>
  <c r="F9" i="9"/>
  <c r="F10" i="9"/>
  <c r="F11" i="9"/>
  <c r="H6" i="9"/>
  <c r="H7" i="9"/>
  <c r="H8" i="9"/>
  <c r="H9" i="9"/>
  <c r="H10" i="9"/>
  <c r="H11" i="9"/>
  <c r="H5" i="9"/>
  <c r="I6" i="9"/>
  <c r="I7" i="9"/>
  <c r="I8" i="9"/>
  <c r="I9" i="9"/>
  <c r="I10" i="9"/>
  <c r="I11" i="9"/>
  <c r="D7" i="9"/>
  <c r="D8" i="9"/>
  <c r="D10" i="9"/>
  <c r="D11" i="9"/>
  <c r="D5" i="9"/>
  <c r="E6" i="9"/>
  <c r="E7" i="9"/>
  <c r="E8" i="9"/>
  <c r="E9" i="9"/>
  <c r="E10" i="9"/>
  <c r="E11" i="9"/>
  <c r="E5" i="9"/>
  <c r="B9" i="12" a="1"/>
  <c r="B9" i="12" s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<sst xmlns="http://schemas.openxmlformats.org/spreadsheetml/2006/main" count="629" uniqueCount="160">
  <si>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</si>
  <si>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</si>
  <si>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</si>
  <si>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</si>
  <si>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</si>
  <si>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</si>
  <si>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</si>
  <si>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</si>
  <si>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</si>
  <si>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</si>
  <si>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</si>
  <si>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</si>
  <si>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</si>
  <si>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</si>
  <si>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</si>
  <si>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</si>
  <si>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</si>
  <si>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</si>
  <si>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</si>
  <si>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</si>
  <si>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</si>
  <si>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</si>
  <si>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</si>
  <si>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</si>
  <si>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</si>
  <si>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</si>
  <si>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</si>
  <si>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</si>
  <si>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</si>
  <si>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</si>
  <si>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</si>
  <si>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</si>
  <si>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</si>
  <si>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</si>
  <si>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</si>
  <si>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</si>
  <si>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</si>
  <si>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</si>
  <si>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</si>
  <si>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</si>
  <si>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</si>
  <si>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</si>
  <si>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</si>
  <si>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</si>
  <si>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</si>
  <si>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</si>
  <si>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</si>
  <si>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</si>
  <si>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</si>
  <si>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</si>
  <si>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</si>
  <si>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</si>
  <si>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</si>
  <si>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</si>
  <si>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</si>
  <si>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</si>
  <si>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</si>
  <si>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</si>
  <si>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</si>
  <si>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</si>
  <si>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</si>
  <si>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</si>
  <si>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</si>
  <si>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</si>
  <si>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</si>
  <si>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</si>
  <si>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</si>
  <si>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</si>
  <si>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</si>
  <si>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</si>
  <si>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</si>
  <si>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</si>
  <si>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</si>
  <si>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</si>
  <si>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</si>
  <si>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</si>
  <si>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</si>
  <si>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</si>
  <si>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</si>
  <si>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</si>
  <si>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</si>
  <si>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</si>
  <si>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</si>
  <si>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</si>
  <si>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</si>
  <si>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</si>
  <si>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</si>
  <si>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</si>
  <si>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</si>
  <si>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</si>
  <si>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</si>
  <si>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</si>
  <si>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</si>
  <si>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</si>
  <si>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</si>
  <si>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</si>
  <si>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</si>
  <si>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</si>
  <si>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</si>
  <si>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</si>
  <si>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</si>
  <si>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</si>
  <si>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</si>
  <si>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</si>
  <si>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</si>
  <si>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</si>
  <si>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</si>
  <si>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</si>
  <si>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</si>
  <si>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</si>
  <si>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</si>
  <si>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</si>
  <si>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</si>
  <si>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</si>
  <si>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</si>
  <si>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</si>
  <si>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</si>
  <si>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</si>
  <si>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</si>
  <si>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</si>
  <si>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</si>
  <si>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</si>
  <si>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</si>
  <si>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</si>
  <si>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</si>
  <si>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</si>
  <si>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</si>
  <si>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</si>
  <si>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</si>
  <si>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</si>
  <si>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</si>
  <si>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</si>
  <si>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</si>
  <si>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</si>
  <si>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</si>
  <si>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</si>
  <si>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</si>
  <si>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</si>
  <si>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</si>
  <si>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</si>
  <si>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</si>
  <si>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</si>
  <si>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</si>
  <si>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</si>
  <si>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</si>
  <si>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</si>
  <si>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</si>
  <si>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</si>
  <si>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Find the no. of spaces from the above text string?</t>
  </si>
  <si>
    <t>Q-3(A).</t>
  </si>
  <si>
    <t>kumar</t>
  </si>
  <si>
    <t>verma</t>
  </si>
  <si>
    <t>Sanjeev</t>
  </si>
  <si>
    <t>Naveen</t>
  </si>
  <si>
    <t>Arti</t>
  </si>
  <si>
    <t>Rahul</t>
  </si>
  <si>
    <t>Gupta</t>
  </si>
  <si>
    <t>Singh</t>
  </si>
  <si>
    <t>Chauhan</t>
  </si>
  <si>
    <t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</si>
</sst>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indexed="64"/>
      </bottom>
      <diagonal/>
    </border>
    <border>
      <left style="thick">
        <color theme="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22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0" fillId="0" borderId="32" xfId="0" applyBorder="1"/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7" fillId="2" borderId="28" xfId="0" applyFont="1" applyFill="1" applyBorder="1" applyAlignment="1">
      <alignment horizontal="center"/>
    </xf>
    <xf numFmtId="0" fontId="0" fillId="0" borderId="28" xfId="0" applyBorder="1"/>
    <xf numFmtId="0" fontId="8" fillId="3" borderId="30" xfId="0" applyFont="1" applyFill="1" applyBorder="1"/>
    <xf numFmtId="0" fontId="8" fillId="3" borderId="37" xfId="0" applyFont="1" applyFill="1" applyBorder="1"/>
    <xf numFmtId="0" fontId="7" fillId="2" borderId="38" xfId="0" applyFont="1" applyFill="1" applyBorder="1" applyAlignment="1">
      <alignment horizontal="center"/>
    </xf>
    <xf numFmtId="0" fontId="0" fillId="0" borderId="11" xfId="0" applyBorder="1"/>
    <xf numFmtId="0" fontId="7" fillId="2" borderId="33" xfId="0" applyFont="1" applyFill="1" applyBorder="1"/>
    <xf numFmtId="0" fontId="7" fillId="2" borderId="37" xfId="0" applyFont="1" applyFill="1" applyBorder="1"/>
    <xf numFmtId="0" fontId="0" fillId="0" borderId="39" xfId="0" applyBorder="1" applyAlignment="1">
      <alignment horizontal="left"/>
    </xf>
    <xf numFmtId="0" fontId="7" fillId="2" borderId="43" xfId="0" applyFont="1" applyFill="1" applyBorder="1"/>
    <xf numFmtId="0" fontId="0" fillId="0" borderId="28" xfId="0" applyBorder="1" applyAlignment="1">
      <alignment horizontal="left"/>
    </xf>
    <xf numFmtId="0" fontId="8" fillId="3" borderId="40" xfId="0" applyFont="1" applyFill="1" applyBorder="1"/>
    <xf numFmtId="0" fontId="0" fillId="0" borderId="30" xfId="0" applyBorder="1" applyAlignment="1">
      <alignment horizontal="left"/>
    </xf>
    <xf numFmtId="0" fontId="8" fillId="3" borderId="42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7" fillId="2" borderId="41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8" xfId="0" applyFont="1" applyFill="1" applyBorder="1"/>
    <xf numFmtId="0" fontId="8" fillId="3" borderId="28" xfId="0" applyFont="1" applyFill="1" applyBorder="1" applyAlignment="1">
      <alignment horizontal="center"/>
    </xf>
    <xf numFmtId="14" fontId="8" fillId="3" borderId="46" xfId="0" applyNumberFormat="1" applyFont="1" applyFill="1" applyBorder="1" applyAlignment="1">
      <alignment horizontal="center"/>
    </xf>
    <xf numFmtId="165" fontId="8" fillId="3" borderId="41" xfId="0" applyNumberFormat="1" applyFont="1" applyFill="1" applyBorder="1" applyAlignment="1">
      <alignment horizontal="center"/>
    </xf>
    <xf numFmtId="166" fontId="8" fillId="3" borderId="41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41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4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7" xfId="0" applyFont="1" applyBorder="1"/>
    <xf numFmtId="0" fontId="4" fillId="2" borderId="19" xfId="0" applyFont="1" applyFill="1" applyBorder="1"/>
    <xf numFmtId="0" fontId="4" fillId="2" borderId="5" xfId="0" applyFont="1" applyFill="1" applyBorder="1"/>
    <xf numFmtId="0" fontId="4" fillId="2" borderId="48" xfId="0" applyFont="1" applyFill="1" applyBorder="1"/>
    <xf numFmtId="0" fontId="4" fillId="2" borderId="24" xfId="0" applyFont="1" applyFill="1" applyBorder="1"/>
    <xf numFmtId="0" fontId="4" fillId="0" borderId="49" xfId="0" applyFont="1" applyBorder="1"/>
    <xf numFmtId="0" fontId="7" fillId="2" borderId="50" xfId="0" applyFont="1" applyFill="1" applyBorder="1"/>
    <xf numFmtId="0" fontId="8" fillId="5" borderId="0" xfId="0" applyFont="1" applyFill="1"/>
    <xf numFmtId="0" fontId="8" fillId="5" borderId="50" xfId="0" applyFont="1" applyFill="1" applyBorder="1"/>
    <xf numFmtId="0" fontId="8" fillId="3" borderId="50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6" xfId="0" applyFont="1" applyFill="1" applyBorder="1"/>
    <xf numFmtId="0" fontId="8" fillId="3" borderId="5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4" borderId="62" xfId="0" applyFont="1" applyFill="1" applyBorder="1"/>
    <xf numFmtId="0" fontId="8" fillId="5" borderId="56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4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5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4" fillId="2" borderId="67" xfId="0" applyFont="1" applyFill="1" applyBorder="1"/>
    <xf numFmtId="0" fontId="4" fillId="2" borderId="68" xfId="0" applyFont="1" applyFill="1" applyBorder="1"/>
    <xf numFmtId="0" fontId="5" fillId="3" borderId="37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/>
    </xf>
    <xf numFmtId="0" fontId="5" fillId="3" borderId="70" xfId="0" applyFont="1" applyFill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6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10" fillId="3" borderId="50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8" fillId="3" borderId="64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2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2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2" xfId="0" applyFont="1" applyFill="1" applyBorder="1" applyAlignment="1">
      <alignment horizontal="left" wrapText="1"/>
    </xf>
    <xf numFmtId="0" fontId="3" fillId="4" borderId="3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11" fillId="2" borderId="3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2" borderId="37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3" sqref="B3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2" thickTop="1" thickBot="1" x14ac:dyDescent="0.4">
      <c r="A2" s="48" t="s">
        <v>97</v>
      </c>
      <c r="B2" s="29">
        <f>COUNTIF(A4:M27,"&lt;100")</f>
        <v>32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2" sqref="B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7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7" ht="19.2" thickTop="1" thickBot="1" x14ac:dyDescent="0.4">
      <c r="A2" s="51" t="s">
        <v>97</v>
      </c>
      <c r="B2" s="60">
        <f>COUNTIF(A4:F10,"??")</f>
        <v>24</v>
      </c>
      <c r="C2" s="60"/>
      <c r="D2" s="28"/>
      <c r="E2" s="28"/>
      <c r="F2" s="49"/>
      <c r="G2" s="26"/>
    </row>
    <row r="3" spans="1:7" ht="15.6" thickTop="1" thickBot="1" x14ac:dyDescent="0.35">
      <c r="C3" s="43"/>
      <c r="D3" s="23"/>
      <c r="E3" s="43"/>
      <c r="F3" s="43"/>
    </row>
    <row r="4" spans="1:7" ht="16.2" thickTop="1" x14ac:dyDescent="0.3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2" thickBot="1" x14ac:dyDescent="0.35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" thickTop="1" x14ac:dyDescent="0.3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5" sqref="B5"/>
    </sheetView>
  </sheetViews>
  <sheetFormatPr defaultRowHeight="14.4" x14ac:dyDescent="0.3"/>
  <cols>
    <col min="1" max="1" width="8.77734375" customWidth="1"/>
    <col min="2" max="2" width="10.109375" bestFit="1" customWidth="1"/>
  </cols>
  <sheetData>
    <row r="1" spans="1:10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0" ht="19.2" thickTop="1" thickBot="1" x14ac:dyDescent="0.4">
      <c r="A3" s="10" t="s">
        <v>149</v>
      </c>
      <c r="B3" s="13" t="s">
        <v>148</v>
      </c>
      <c r="C3" s="53"/>
      <c r="D3" s="13"/>
      <c r="E3" s="40"/>
      <c r="F3" s="53"/>
      <c r="G3" s="13"/>
      <c r="H3" s="53"/>
      <c r="I3" s="57"/>
    </row>
    <row r="4" spans="1:10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</row>
    <row r="5" spans="1:10" ht="19.2" thickTop="1" thickBot="1" x14ac:dyDescent="0.4">
      <c r="A5" s="51" t="s">
        <v>97</v>
      </c>
      <c r="B5" s="28" cm="1">
        <f t="array" ref="B5:J5">LEN(A1:I1)-LEN(SUBSTITUTE(A1:I1," ",""))</f>
        <v>11</v>
      </c>
      <c r="C5" s="29">
        <v>0</v>
      </c>
      <c r="D5" s="29">
        <v>0</v>
      </c>
      <c r="E5" s="28">
        <v>0</v>
      </c>
      <c r="F5" s="28">
        <v>0</v>
      </c>
      <c r="G5" s="28">
        <v>0</v>
      </c>
      <c r="H5" s="29">
        <v>0</v>
      </c>
      <c r="I5" s="30">
        <v>0</v>
      </c>
      <c r="J5" s="26">
        <v>0</v>
      </c>
    </row>
    <row r="6" spans="1:10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0" ht="19.2" thickTop="1" thickBot="1" x14ac:dyDescent="0.4">
      <c r="A7" s="39" t="s">
        <v>109</v>
      </c>
      <c r="B7" s="11"/>
      <c r="C7" s="40"/>
      <c r="D7" s="13"/>
      <c r="E7" s="13"/>
      <c r="F7" s="11"/>
      <c r="G7" s="13"/>
      <c r="H7" s="40"/>
      <c r="I7" s="59"/>
    </row>
    <row r="8" spans="1:10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</row>
    <row r="9" spans="1:10" ht="19.2" thickTop="1" thickBot="1" x14ac:dyDescent="0.4">
      <c r="A9" s="48" t="s">
        <v>97</v>
      </c>
      <c r="B9" s="28" cm="1">
        <f t="array" ref="B9:J9">LEN(SUBSTITUTE(A1:I1," ",""))</f>
        <v>55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8">
        <v>0</v>
      </c>
      <c r="I9" s="49">
        <v>0</v>
      </c>
      <c r="J9">
        <v>0</v>
      </c>
    </row>
    <row r="10" spans="1:10" ht="15" thickTop="1" x14ac:dyDescent="0.3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115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34" t="s">
        <v>97</v>
      </c>
      <c r="B2" s="66" t="s">
        <v>110</v>
      </c>
      <c r="C2" s="42" t="s">
        <v>29</v>
      </c>
      <c r="D2" s="131" t="s">
        <v>113</v>
      </c>
      <c r="E2" s="132"/>
      <c r="F2" s="132"/>
      <c r="G2" s="132"/>
      <c r="H2" s="132"/>
      <c r="I2" s="132"/>
      <c r="J2" s="132"/>
      <c r="K2" s="132"/>
      <c r="L2" s="133"/>
      <c r="O2" s="16" t="s">
        <v>1</v>
      </c>
      <c r="P2" s="17">
        <v>40825</v>
      </c>
    </row>
    <row r="3" spans="1:16" ht="18.45" customHeight="1" thickTop="1" thickBot="1" x14ac:dyDescent="0.4">
      <c r="A3" s="135"/>
      <c r="B3" s="67">
        <v>12</v>
      </c>
      <c r="C3" s="70" t="s">
        <v>71</v>
      </c>
      <c r="D3" s="136" cm="1">
        <f t="array" ref="D3">SUMPRODUCT((MONTH(P2:P440)=B3)*(UPPER(O2:O440)=C3))</f>
        <v>7</v>
      </c>
      <c r="E3" s="137"/>
      <c r="F3" s="137"/>
      <c r="G3" s="137"/>
      <c r="H3" s="137"/>
      <c r="I3" s="137"/>
      <c r="J3" s="137"/>
      <c r="K3" s="137"/>
      <c r="L3" s="139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111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34" t="s">
        <v>97</v>
      </c>
      <c r="B6" s="46" t="s">
        <v>112</v>
      </c>
      <c r="C6" s="66" t="s">
        <v>29</v>
      </c>
      <c r="D6" s="131" t="s">
        <v>113</v>
      </c>
      <c r="E6" s="132"/>
      <c r="F6" s="132"/>
      <c r="G6" s="132"/>
      <c r="H6" s="132"/>
      <c r="I6" s="132"/>
      <c r="J6" s="132"/>
      <c r="K6" s="132"/>
      <c r="L6" s="133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35"/>
      <c r="B7" s="67">
        <v>2011</v>
      </c>
      <c r="C7" s="68" t="s">
        <v>1</v>
      </c>
      <c r="D7" s="136" cm="1">
        <f t="array" ref="D7">SUMPRODUCT((YEAR(P2:P440)=B7)*(UPPER(O2:O440)=C7))</f>
        <v>11</v>
      </c>
      <c r="E7" s="137"/>
      <c r="F7" s="137"/>
      <c r="G7" s="137"/>
      <c r="H7" s="137"/>
      <c r="I7" s="137"/>
      <c r="J7" s="137"/>
      <c r="K7" s="137"/>
      <c r="L7" s="138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L8" sqref="L8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10.77734375" bestFit="1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114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33" t="str">
        <f>TEXT(A5,"dd-mmmm-yy")</f>
        <v>19-October-11</v>
      </c>
      <c r="C5" s="33" t="str">
        <f>TEXT(A5,"dd-mm")</f>
        <v>19-10</v>
      </c>
      <c r="D5" s="34" t="str">
        <f>TEXT(A5,"mmmm-yy")</f>
        <v>October-11</v>
      </c>
      <c r="E5" s="33" t="str">
        <f>TEXT(A5,"dd-mmm")</f>
        <v>19-Oct</v>
      </c>
      <c r="F5" s="33" t="str">
        <f>TEXT(A5,"dd-mmm-yy")</f>
        <v>19-Oct-11</v>
      </c>
      <c r="G5" s="33" t="str">
        <f>TEXT(A5,"dddd ,mmmm dd, yy")</f>
        <v>Wednesday ,October 19, 11</v>
      </c>
    </row>
    <row r="6" spans="1:9" ht="19.2" thickTop="1" thickBot="1" x14ac:dyDescent="0.4">
      <c r="A6" s="35">
        <v>40826.007638888892</v>
      </c>
      <c r="B6" s="33" t="str">
        <f t="shared" ref="B6:B16" si="0">TEXT(A6,"dd-mmmm-yy")</f>
        <v>10-October-11</v>
      </c>
      <c r="C6" s="33" t="str">
        <f t="shared" ref="C6:C16" si="1">TEXT(A6,"dd-mm")</f>
        <v>10-10</v>
      </c>
      <c r="D6" s="34" t="str">
        <f t="shared" ref="D6:D16" si="2">TEXT(A6,"mmmm-yy")</f>
        <v>October-11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 ,mmmm dd, yy")</f>
        <v>Monday ,October 10, 11</v>
      </c>
    </row>
    <row r="7" spans="1:9" ht="19.2" thickTop="1" thickBot="1" x14ac:dyDescent="0.4">
      <c r="A7" s="35">
        <v>40827.007638888892</v>
      </c>
      <c r="B7" s="33" t="str">
        <f t="shared" si="0"/>
        <v>11-October-11</v>
      </c>
      <c r="C7" s="33" t="str">
        <f t="shared" si="1"/>
        <v>11-10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 ,October 11, 11</v>
      </c>
    </row>
    <row r="8" spans="1:9" ht="19.2" thickTop="1" thickBot="1" x14ac:dyDescent="0.4">
      <c r="A8" s="35">
        <v>40828.007638888892</v>
      </c>
      <c r="B8" s="33" t="str">
        <f t="shared" si="0"/>
        <v>12-October-11</v>
      </c>
      <c r="C8" s="33" t="str">
        <f t="shared" si="1"/>
        <v>12-10</v>
      </c>
      <c r="D8" s="34" t="str">
        <f t="shared" si="2"/>
        <v>October-11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 ,October 12, 11</v>
      </c>
    </row>
    <row r="9" spans="1:9" ht="19.2" thickTop="1" thickBot="1" x14ac:dyDescent="0.4">
      <c r="A9" s="35">
        <v>40829.007638888892</v>
      </c>
      <c r="B9" s="33" t="str">
        <f t="shared" si="0"/>
        <v>13-October-11</v>
      </c>
      <c r="C9" s="33" t="str">
        <f t="shared" si="1"/>
        <v>13-10</v>
      </c>
      <c r="D9" s="34" t="str">
        <f t="shared" si="2"/>
        <v>October-11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 ,October 13, 11</v>
      </c>
      <c r="I9" s="19"/>
    </row>
    <row r="10" spans="1:9" ht="19.2" thickTop="1" thickBot="1" x14ac:dyDescent="0.4">
      <c r="A10" s="35">
        <v>40830.007638888892</v>
      </c>
      <c r="B10" s="33" t="str">
        <f t="shared" si="0"/>
        <v>14-October-11</v>
      </c>
      <c r="C10" s="33" t="str">
        <f t="shared" si="1"/>
        <v>14-10</v>
      </c>
      <c r="D10" s="34" t="str">
        <f t="shared" si="2"/>
        <v>October-11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 ,October 14, 11</v>
      </c>
      <c r="I10"/>
    </row>
    <row r="11" spans="1:9" ht="19.2" thickTop="1" thickBot="1" x14ac:dyDescent="0.4">
      <c r="A11" s="35">
        <v>40831.007638888892</v>
      </c>
      <c r="B11" s="33" t="str">
        <f t="shared" si="0"/>
        <v>15-October-11</v>
      </c>
      <c r="C11" s="33" t="str">
        <f t="shared" si="1"/>
        <v>15-10</v>
      </c>
      <c r="D11" s="34" t="str">
        <f t="shared" si="2"/>
        <v>October-11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 ,October 15, 11</v>
      </c>
    </row>
    <row r="12" spans="1:9" ht="19.2" thickTop="1" thickBot="1" x14ac:dyDescent="0.4">
      <c r="A12" s="35">
        <v>40832.007638888892</v>
      </c>
      <c r="B12" s="33" t="str">
        <f t="shared" si="0"/>
        <v>16-October-11</v>
      </c>
      <c r="C12" s="33" t="str">
        <f t="shared" si="1"/>
        <v>16-10</v>
      </c>
      <c r="D12" s="34" t="str">
        <f t="shared" si="2"/>
        <v>October-11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 ,October 16, 11</v>
      </c>
      <c r="H12" s="26"/>
    </row>
    <row r="13" spans="1:9" ht="19.2" thickTop="1" thickBot="1" x14ac:dyDescent="0.4">
      <c r="A13" s="36">
        <v>40833.007638888892</v>
      </c>
      <c r="B13" s="33" t="str">
        <f t="shared" si="0"/>
        <v>17-October-11</v>
      </c>
      <c r="C13" s="33" t="str">
        <f t="shared" si="1"/>
        <v>17-10</v>
      </c>
      <c r="D13" s="34" t="str">
        <f t="shared" si="2"/>
        <v>October-11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 ,October 17, 11</v>
      </c>
      <c r="I13"/>
    </row>
    <row r="14" spans="1:9" ht="19.2" thickTop="1" thickBot="1" x14ac:dyDescent="0.4">
      <c r="A14" s="36">
        <v>40834.007638888892</v>
      </c>
      <c r="B14" s="33" t="str">
        <f t="shared" si="0"/>
        <v>18-October-11</v>
      </c>
      <c r="C14" s="33" t="str">
        <f t="shared" si="1"/>
        <v>18-10</v>
      </c>
      <c r="D14" s="34" t="str">
        <f t="shared" si="2"/>
        <v>October-11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 ,October 18, 11</v>
      </c>
    </row>
    <row r="15" spans="1:9" ht="19.2" thickTop="1" thickBot="1" x14ac:dyDescent="0.4">
      <c r="A15" s="36">
        <v>40835.007638888892</v>
      </c>
      <c r="B15" s="33" t="str">
        <f t="shared" si="0"/>
        <v>19-October-11</v>
      </c>
      <c r="C15" s="33" t="str">
        <f t="shared" si="1"/>
        <v>19-10</v>
      </c>
      <c r="D15" s="34" t="str">
        <f t="shared" si="2"/>
        <v>October-11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 ,October 19, 11</v>
      </c>
    </row>
    <row r="16" spans="1:9" ht="19.2" thickTop="1" thickBot="1" x14ac:dyDescent="0.4">
      <c r="A16" s="37">
        <v>40836.007638888892</v>
      </c>
      <c r="B16" s="33" t="str">
        <f t="shared" si="0"/>
        <v>20-October-11</v>
      </c>
      <c r="C16" s="33" t="str">
        <f t="shared" si="1"/>
        <v>20-10</v>
      </c>
      <c r="D16" s="34" t="str">
        <f t="shared" si="2"/>
        <v>October-11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 ,October 20, 11</v>
      </c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G5" sqref="G5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89" t="s">
        <v>117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2" thickTop="1" thickBot="1" x14ac:dyDescent="0.4">
      <c r="A2" s="88"/>
      <c r="B2" s="87"/>
      <c r="C2" s="92"/>
      <c r="D2" s="91"/>
      <c r="E2" s="91"/>
      <c r="F2" s="92"/>
      <c r="G2" s="91"/>
      <c r="H2" s="91"/>
      <c r="I2" s="87"/>
      <c r="J2" s="90"/>
    </row>
    <row r="3" spans="1:10" ht="19.2" thickTop="1" thickBot="1" x14ac:dyDescent="0.4">
      <c r="A3" s="86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129" t="s">
        <v>30</v>
      </c>
      <c r="B4" s="130" t="s">
        <v>31</v>
      </c>
      <c r="C4" s="130" t="s">
        <v>32</v>
      </c>
      <c r="D4" s="130" t="s">
        <v>33</v>
      </c>
      <c r="E4" s="130" t="s">
        <v>34</v>
      </c>
      <c r="F4" s="130" t="s">
        <v>35</v>
      </c>
      <c r="G4" s="130" t="s">
        <v>36</v>
      </c>
      <c r="H4" s="130" t="s">
        <v>37</v>
      </c>
      <c r="I4" s="128" t="s">
        <v>38</v>
      </c>
      <c r="J4" s="26"/>
    </row>
    <row r="5" spans="1:10" ht="16.8" thickTop="1" thickBot="1" x14ac:dyDescent="0.35">
      <c r="A5" s="78" t="s">
        <v>39</v>
      </c>
      <c r="B5" s="83" t="s">
        <v>49</v>
      </c>
      <c r="C5" s="83" t="s">
        <v>156</v>
      </c>
      <c r="D5" s="83" t="str">
        <f>MID(A5,5,1)</f>
        <v>t</v>
      </c>
      <c r="E5" s="83">
        <f>LEN(A5)</f>
        <v>11</v>
      </c>
      <c r="F5" s="83">
        <f>FIND(" ",A5)</f>
        <v>6</v>
      </c>
      <c r="G5" s="83"/>
      <c r="H5" s="83" t="str">
        <f>SUBSTITUTE(A5," ","-")</f>
        <v>Rohit-Gupta</v>
      </c>
      <c r="I5" s="93">
        <f>LEN(A5)-LEN(SUBSTITUTE(A5," ",""))</f>
        <v>1</v>
      </c>
    </row>
    <row r="6" spans="1:10" ht="16.8" thickTop="1" thickBot="1" x14ac:dyDescent="0.35">
      <c r="A6" s="79" t="s">
        <v>40</v>
      </c>
      <c r="B6" s="83" t="s">
        <v>152</v>
      </c>
      <c r="C6" s="83" t="s">
        <v>150</v>
      </c>
      <c r="D6" s="83"/>
      <c r="E6" s="83">
        <f t="shared" ref="E6:E11" si="0">LEN(A6)</f>
        <v>13</v>
      </c>
      <c r="F6" s="83">
        <f t="shared" ref="F6:F11" si="1">FIND(" ",A6)</f>
        <v>8</v>
      </c>
      <c r="G6" s="81"/>
      <c r="H6" s="83" t="str">
        <f t="shared" ref="H6:H11" si="2">SUBSTITUTE(A6," ","-")</f>
        <v>Sanjeev-kumar</v>
      </c>
      <c r="I6" s="93">
        <f t="shared" ref="I6:I11" si="3">LEN(A6)-LEN(SUBSTITUTE(A6," ",""))</f>
        <v>1</v>
      </c>
    </row>
    <row r="7" spans="1:10" ht="16.8" thickTop="1" thickBot="1" x14ac:dyDescent="0.35">
      <c r="A7" s="80" t="s">
        <v>41</v>
      </c>
      <c r="B7" s="127" t="s">
        <v>49</v>
      </c>
      <c r="C7" s="82" t="s">
        <v>156</v>
      </c>
      <c r="D7" s="83" t="str">
        <f t="shared" ref="D7:D11" si="4">MID(A7,5,1)</f>
        <v>t</v>
      </c>
      <c r="E7" s="83">
        <f t="shared" si="0"/>
        <v>17</v>
      </c>
      <c r="F7" s="83">
        <f t="shared" si="1"/>
        <v>6</v>
      </c>
      <c r="G7" s="82">
        <f>FIND(" ",A7,7)</f>
        <v>12</v>
      </c>
      <c r="H7" s="83" t="str">
        <f t="shared" si="2"/>
        <v>Rohit-Kumar-Gupta</v>
      </c>
      <c r="I7" s="93">
        <f t="shared" si="3"/>
        <v>2</v>
      </c>
      <c r="J7" s="26"/>
    </row>
    <row r="8" spans="1:10" ht="16.8" thickTop="1" thickBot="1" x14ac:dyDescent="0.35">
      <c r="A8" s="79" t="s">
        <v>42</v>
      </c>
      <c r="B8" s="83" t="s">
        <v>153</v>
      </c>
      <c r="C8" s="81" t="s">
        <v>157</v>
      </c>
      <c r="D8" s="83" t="str">
        <f t="shared" si="4"/>
        <v>e</v>
      </c>
      <c r="E8" s="83">
        <f t="shared" si="0"/>
        <v>20</v>
      </c>
      <c r="F8" s="83">
        <f t="shared" si="1"/>
        <v>7</v>
      </c>
      <c r="G8" s="82">
        <f>FIND(" ",A8,FIND(" ",A8,7))</f>
        <v>7</v>
      </c>
      <c r="H8" s="83" t="str">
        <f t="shared" si="2"/>
        <v>Naveen-Chauhan-Singh</v>
      </c>
      <c r="I8" s="93">
        <f t="shared" si="3"/>
        <v>2</v>
      </c>
    </row>
    <row r="9" spans="1:10" ht="16.8" thickTop="1" thickBot="1" x14ac:dyDescent="0.35">
      <c r="A9" s="79" t="s">
        <v>43</v>
      </c>
      <c r="B9" s="83" t="s">
        <v>154</v>
      </c>
      <c r="C9" s="81" t="s">
        <v>158</v>
      </c>
      <c r="D9" s="83"/>
      <c r="E9" s="83">
        <f t="shared" si="0"/>
        <v>18</v>
      </c>
      <c r="F9" s="83">
        <f t="shared" si="1"/>
        <v>5</v>
      </c>
      <c r="G9" s="82">
        <f t="shared" ref="G9:G11" si="5">FIND(" ",A9,FIND(" ",A9,7))</f>
        <v>11</v>
      </c>
      <c r="H9" s="83" t="str">
        <f t="shared" si="2"/>
        <v>Arti-Singh-Chauhan</v>
      </c>
      <c r="I9" s="93">
        <f t="shared" si="3"/>
        <v>2</v>
      </c>
    </row>
    <row r="10" spans="1:10" ht="16.8" thickTop="1" thickBot="1" x14ac:dyDescent="0.35">
      <c r="A10" s="80" t="s">
        <v>44</v>
      </c>
      <c r="B10" s="83" t="s">
        <v>49</v>
      </c>
      <c r="C10" s="81" t="s">
        <v>159</v>
      </c>
      <c r="D10" s="83" t="str">
        <f t="shared" si="4"/>
        <v>t</v>
      </c>
      <c r="E10" s="83">
        <f t="shared" si="0"/>
        <v>15</v>
      </c>
      <c r="F10" s="83">
        <f t="shared" si="1"/>
        <v>6</v>
      </c>
      <c r="G10" s="82">
        <f t="shared" si="5"/>
        <v>12</v>
      </c>
      <c r="H10" s="83" t="str">
        <f t="shared" si="2"/>
        <v>Rohit-Arora-Man</v>
      </c>
      <c r="I10" s="93">
        <f t="shared" si="3"/>
        <v>2</v>
      </c>
    </row>
    <row r="11" spans="1:10" ht="16.8" thickTop="1" thickBot="1" x14ac:dyDescent="0.35">
      <c r="A11" s="85" t="s">
        <v>45</v>
      </c>
      <c r="B11" s="126" t="s">
        <v>155</v>
      </c>
      <c r="C11" s="84" t="s">
        <v>151</v>
      </c>
      <c r="D11" s="83" t="str">
        <f t="shared" si="4"/>
        <v>l</v>
      </c>
      <c r="E11" s="83">
        <f t="shared" si="0"/>
        <v>17</v>
      </c>
      <c r="F11" s="83">
        <f t="shared" si="1"/>
        <v>6</v>
      </c>
      <c r="G11" s="82">
        <f t="shared" si="5"/>
        <v>12</v>
      </c>
      <c r="H11" s="83" t="str">
        <f t="shared" si="2"/>
        <v>Rahul-badhe-verma</v>
      </c>
      <c r="I11" s="93">
        <f t="shared" si="3"/>
        <v>2</v>
      </c>
    </row>
    <row r="12" spans="1:10" ht="15" thickTop="1" x14ac:dyDescent="0.3"/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tabSelected="1" workbookViewId="0">
      <selection activeCell="Q10" sqref="Q10"/>
    </sheetView>
  </sheetViews>
  <sheetFormatPr defaultRowHeight="14.4" x14ac:dyDescent="0.3"/>
  <sheetData>
    <row r="1" spans="1:9" ht="22.2" thickTop="1" thickBot="1" x14ac:dyDescent="0.35">
      <c r="A1" s="140" t="s">
        <v>127</v>
      </c>
      <c r="B1" s="141"/>
      <c r="C1" s="141"/>
      <c r="D1" s="141"/>
      <c r="E1" s="141"/>
      <c r="F1" s="141"/>
      <c r="G1" s="141"/>
      <c r="H1" s="142"/>
      <c r="I1" s="26"/>
    </row>
    <row r="2" spans="1:9" ht="15.6" thickTop="1" thickBot="1" x14ac:dyDescent="0.35">
      <c r="A2" s="43"/>
      <c r="B2" s="23"/>
      <c r="C2" s="23"/>
      <c r="D2" s="23"/>
      <c r="F2" s="23"/>
    </row>
    <row r="3" spans="1:9" ht="19.2" thickTop="1" thickBot="1" x14ac:dyDescent="0.35">
      <c r="A3" s="114" t="s">
        <v>128</v>
      </c>
      <c r="B3" s="143" t="s">
        <v>118</v>
      </c>
      <c r="C3" s="144"/>
      <c r="D3" s="144"/>
      <c r="E3" s="144"/>
      <c r="F3" s="144"/>
      <c r="G3" s="144"/>
      <c r="H3" s="145"/>
    </row>
    <row r="4" spans="1:9" ht="18" thickTop="1" x14ac:dyDescent="0.35">
      <c r="A4" s="113">
        <v>1</v>
      </c>
      <c r="B4" s="146" t="s">
        <v>121</v>
      </c>
      <c r="C4" s="147"/>
      <c r="D4" s="147"/>
      <c r="E4" s="147"/>
      <c r="F4" s="147"/>
      <c r="G4" s="147"/>
      <c r="H4" s="148"/>
    </row>
    <row r="5" spans="1:9" ht="17.399999999999999" x14ac:dyDescent="0.35">
      <c r="A5" s="111">
        <v>2</v>
      </c>
      <c r="B5" s="146" t="s">
        <v>123</v>
      </c>
      <c r="C5" s="147"/>
      <c r="D5" s="147"/>
      <c r="E5" s="147"/>
      <c r="F5" s="147"/>
      <c r="G5" s="147"/>
      <c r="H5" s="148"/>
      <c r="I5" s="26"/>
    </row>
    <row r="6" spans="1:9" ht="18" thickBot="1" x14ac:dyDescent="0.4">
      <c r="A6" s="112">
        <v>3</v>
      </c>
      <c r="B6" s="149" t="s">
        <v>125</v>
      </c>
      <c r="C6" s="150"/>
      <c r="D6" s="150"/>
      <c r="E6" s="150"/>
      <c r="F6" s="150"/>
      <c r="G6" s="150"/>
      <c r="H6" s="151"/>
      <c r="I6" s="26"/>
    </row>
    <row r="7" spans="1:9" ht="15.6" thickTop="1" thickBot="1" x14ac:dyDescent="0.35"/>
    <row r="8" spans="1:9" ht="18.45" customHeight="1" thickTop="1" thickBot="1" x14ac:dyDescent="0.35">
      <c r="A8" s="152" t="s">
        <v>97</v>
      </c>
      <c r="B8" s="155" t="s">
        <v>119</v>
      </c>
      <c r="C8" s="144"/>
      <c r="D8" s="144"/>
      <c r="E8" s="155" t="s">
        <v>120</v>
      </c>
      <c r="F8" s="144"/>
      <c r="G8" s="144"/>
      <c r="H8" s="145"/>
    </row>
    <row r="9" spans="1:9" ht="14.55" customHeight="1" thickTop="1" thickBot="1" x14ac:dyDescent="0.4">
      <c r="A9" s="153"/>
      <c r="B9" s="159" t="s">
        <v>122</v>
      </c>
      <c r="C9" s="160"/>
      <c r="D9" s="161"/>
      <c r="E9" s="156">
        <f>(LEN(B4)-LEN(SUBSTITUTE(B4,B9,"")))/LEN(B9)</f>
        <v>3</v>
      </c>
      <c r="F9" s="157"/>
      <c r="G9" s="157"/>
      <c r="H9" s="158"/>
    </row>
    <row r="10" spans="1:9" ht="14.55" customHeight="1" thickTop="1" thickBot="1" x14ac:dyDescent="0.4">
      <c r="A10" s="153"/>
      <c r="B10" s="162" t="s">
        <v>124</v>
      </c>
      <c r="C10" s="162"/>
      <c r="D10" s="162"/>
      <c r="E10" s="219">
        <f t="shared" ref="E10:E11" si="0">(LEN(B5)-LEN(SUBSTITUTE(B5,B10,"")))/LEN(B10)</f>
        <v>2</v>
      </c>
      <c r="F10" s="220"/>
      <c r="G10" s="220"/>
      <c r="H10" s="221"/>
    </row>
    <row r="11" spans="1:9" ht="14.55" customHeight="1" thickTop="1" thickBot="1" x14ac:dyDescent="0.4">
      <c r="A11" s="154"/>
      <c r="B11" s="162" t="s">
        <v>126</v>
      </c>
      <c r="C11" s="162"/>
      <c r="D11" s="162"/>
      <c r="E11" s="156">
        <f t="shared" si="0"/>
        <v>4</v>
      </c>
      <c r="F11" s="157"/>
      <c r="G11" s="157"/>
      <c r="H11" s="158"/>
      <c r="I11" s="26"/>
    </row>
    <row r="12" spans="1:9" ht="15" thickTop="1" x14ac:dyDescent="0.3">
      <c r="B12" s="23"/>
      <c r="C12" s="23"/>
      <c r="D12" s="23"/>
    </row>
  </sheetData>
  <mergeCells count="14">
    <mergeCell ref="A8:A11"/>
    <mergeCell ref="E8:H8"/>
    <mergeCell ref="E9:H9"/>
    <mergeCell ref="E10:H10"/>
    <mergeCell ref="E11:H11"/>
    <mergeCell ref="B8:D8"/>
    <mergeCell ref="B9:D9"/>
    <mergeCell ref="B10:D10"/>
    <mergeCell ref="B11:D11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16" sqref="G16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69" t="s">
        <v>139</v>
      </c>
      <c r="B1" s="170"/>
      <c r="C1" s="170"/>
      <c r="D1" s="170"/>
      <c r="E1" s="170"/>
      <c r="F1" s="170"/>
      <c r="G1" s="170"/>
      <c r="H1" s="170"/>
      <c r="I1" s="170"/>
      <c r="J1" s="171"/>
    </row>
    <row r="2" spans="1:13" ht="22.05" customHeight="1" thickBot="1" x14ac:dyDescent="0.35">
      <c r="A2" s="172"/>
      <c r="B2" s="173"/>
      <c r="C2" s="173"/>
      <c r="D2" s="173"/>
      <c r="E2" s="173"/>
      <c r="F2" s="173"/>
      <c r="G2" s="173"/>
      <c r="H2" s="173"/>
      <c r="I2" s="173"/>
      <c r="J2" s="174"/>
    </row>
    <row r="3" spans="1:13" s="18" customFormat="1" ht="22.05" customHeight="1" thickTop="1" thickBot="1" x14ac:dyDescent="0.35">
      <c r="A3" s="121"/>
      <c r="B3" s="116"/>
      <c r="C3" s="116"/>
      <c r="D3" s="116"/>
      <c r="E3" s="122"/>
      <c r="F3" s="116"/>
      <c r="G3" s="116"/>
      <c r="H3" s="116"/>
      <c r="I3" s="116"/>
      <c r="J3" s="116"/>
      <c r="K3" s="116"/>
    </row>
    <row r="4" spans="1:13" s="18" customFormat="1" ht="22.05" customHeight="1" thickTop="1" thickBot="1" x14ac:dyDescent="0.35">
      <c r="A4" s="175" t="s">
        <v>97</v>
      </c>
      <c r="B4" s="175"/>
      <c r="C4" s="175"/>
      <c r="D4" s="175"/>
      <c r="E4" s="175"/>
      <c r="F4" s="175"/>
      <c r="G4" s="175"/>
      <c r="H4" s="175"/>
      <c r="I4" s="175"/>
      <c r="J4" s="176"/>
      <c r="K4" s="119"/>
      <c r="M4"/>
    </row>
    <row r="5" spans="1:13" ht="19.2" thickTop="1" thickBot="1" x14ac:dyDescent="0.35">
      <c r="A5" s="115" t="s">
        <v>140</v>
      </c>
      <c r="B5" s="155" t="s">
        <v>119</v>
      </c>
      <c r="C5" s="144"/>
      <c r="D5" s="145"/>
      <c r="E5" s="155" t="s">
        <v>138</v>
      </c>
      <c r="F5" s="145"/>
      <c r="G5" s="155" t="s">
        <v>137</v>
      </c>
      <c r="H5" s="144"/>
      <c r="I5" s="144"/>
      <c r="J5" s="145"/>
    </row>
    <row r="6" spans="1:13" ht="18.600000000000001" thickTop="1" thickBot="1" x14ac:dyDescent="0.35">
      <c r="A6" s="118">
        <v>1</v>
      </c>
      <c r="B6" s="180" t="s">
        <v>136</v>
      </c>
      <c r="C6" s="182"/>
      <c r="D6" s="181"/>
      <c r="E6" s="180" t="s">
        <v>132</v>
      </c>
      <c r="F6" s="181"/>
      <c r="G6" s="177" t="str">
        <f>IF(E6="M","Mr. ","Mrs. ")&amp;PROPER(TRIM(MID(B6,FIND(",",B6)+1,LEN(B6))))&amp;" "&amp;PROPER(TRIM(LEFT(B6,FIND(",",B6)-1)))</f>
        <v>Mrs. Bharti Gupta</v>
      </c>
      <c r="H6" s="178"/>
      <c r="I6" s="178"/>
      <c r="J6" s="179"/>
      <c r="K6" s="26"/>
    </row>
    <row r="7" spans="1:13" ht="18.600000000000001" thickTop="1" thickBot="1" x14ac:dyDescent="0.35">
      <c r="A7" s="120">
        <v>2</v>
      </c>
      <c r="B7" s="164" t="s">
        <v>135</v>
      </c>
      <c r="C7" s="164"/>
      <c r="D7" s="164"/>
      <c r="E7" s="163" t="s">
        <v>129</v>
      </c>
      <c r="F7" s="165"/>
      <c r="G7" s="216" t="str">
        <f>IF(E7="M","Mr. ","Mrs. ")&amp;PROPER(TRIM(MID(B7,FIND(",",B7)+1,LEN(B7))))&amp;" "&amp;PROPER(TRIM(LEFT(B7,FIND(",",B7)-1)))</f>
        <v>Mr. Chandan Negi</v>
      </c>
      <c r="H7" s="217"/>
      <c r="I7" s="217"/>
      <c r="J7" s="218"/>
      <c r="K7" s="26"/>
    </row>
    <row r="8" spans="1:13" ht="18.600000000000001" thickTop="1" thickBot="1" x14ac:dyDescent="0.35">
      <c r="A8" s="117">
        <v>3</v>
      </c>
      <c r="B8" s="163" t="s">
        <v>134</v>
      </c>
      <c r="C8" s="164"/>
      <c r="D8" s="165"/>
      <c r="E8" s="163" t="s">
        <v>132</v>
      </c>
      <c r="F8" s="165"/>
      <c r="G8" s="216" t="str">
        <f t="shared" ref="G8:G11" si="0">IF(E8="M","Mr. ","Mrs. ")&amp;PROPER(TRIM(MID(B8,FIND(",",B8)+1,LEN(B8))))&amp;" "&amp;PROPER(TRIM(LEFT(B8,FIND(",",B8)-1)))</f>
        <v>Mrs. Neha Malhotra</v>
      </c>
      <c r="H8" s="217"/>
      <c r="I8" s="217"/>
      <c r="J8" s="218"/>
      <c r="K8" s="26"/>
    </row>
    <row r="9" spans="1:13" ht="18.600000000000001" thickTop="1" thickBot="1" x14ac:dyDescent="0.35">
      <c r="A9" s="117">
        <v>4</v>
      </c>
      <c r="B9" s="163" t="s">
        <v>133</v>
      </c>
      <c r="C9" s="164"/>
      <c r="D9" s="165"/>
      <c r="E9" s="163" t="s">
        <v>132</v>
      </c>
      <c r="F9" s="165"/>
      <c r="G9" s="216" t="str">
        <f t="shared" si="0"/>
        <v>Mrs. Daljeet Kaur</v>
      </c>
      <c r="H9" s="217"/>
      <c r="I9" s="217"/>
      <c r="J9" s="218"/>
      <c r="K9" s="26"/>
    </row>
    <row r="10" spans="1:13" ht="18.600000000000001" thickTop="1" thickBot="1" x14ac:dyDescent="0.35">
      <c r="A10" s="117">
        <v>5</v>
      </c>
      <c r="B10" s="163" t="s">
        <v>131</v>
      </c>
      <c r="C10" s="164"/>
      <c r="D10" s="165"/>
      <c r="E10" s="163" t="s">
        <v>129</v>
      </c>
      <c r="F10" s="165"/>
      <c r="G10" s="216" t="str">
        <f t="shared" si="0"/>
        <v>Mr. Virit Shukla</v>
      </c>
      <c r="H10" s="217"/>
      <c r="I10" s="217"/>
      <c r="J10" s="218"/>
      <c r="K10" s="26"/>
    </row>
    <row r="11" spans="1:13" ht="18.600000000000001" thickTop="1" thickBot="1" x14ac:dyDescent="0.35">
      <c r="A11" s="117">
        <v>6</v>
      </c>
      <c r="B11" s="166" t="s">
        <v>130</v>
      </c>
      <c r="C11" s="167"/>
      <c r="D11" s="168"/>
      <c r="E11" s="163" t="s">
        <v>129</v>
      </c>
      <c r="F11" s="165"/>
      <c r="G11" s="216" t="str">
        <f t="shared" si="0"/>
        <v>Mr. Priyank Agarwal</v>
      </c>
      <c r="H11" s="217"/>
      <c r="I11" s="217"/>
      <c r="J11" s="218"/>
    </row>
    <row r="12" spans="1:13" ht="15" thickTop="1" x14ac:dyDescent="0.3">
      <c r="A12" s="23"/>
      <c r="E12" s="23"/>
      <c r="F12" s="23"/>
    </row>
  </sheetData>
  <mergeCells count="23"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7" sqref="G7:H7"/>
    </sheetView>
  </sheetViews>
  <sheetFormatPr defaultRowHeight="14.4" x14ac:dyDescent="0.3"/>
  <sheetData>
    <row r="1" spans="1:9" ht="18" x14ac:dyDescent="0.3">
      <c r="A1" s="183" t="s">
        <v>147</v>
      </c>
      <c r="B1" s="184"/>
      <c r="C1" s="184"/>
      <c r="D1" s="184"/>
      <c r="E1" s="184"/>
      <c r="F1" s="184"/>
      <c r="G1" s="184"/>
      <c r="H1" s="184"/>
    </row>
    <row r="2" spans="1:9" ht="15" thickBot="1" x14ac:dyDescent="0.35"/>
    <row r="3" spans="1:9" ht="19.2" thickTop="1" thickBot="1" x14ac:dyDescent="0.35">
      <c r="A3" s="191" t="s">
        <v>97</v>
      </c>
      <c r="B3" s="192"/>
      <c r="C3" s="192"/>
      <c r="D3" s="192"/>
      <c r="E3" s="192"/>
      <c r="F3" s="192"/>
      <c r="G3" s="192"/>
      <c r="H3" s="192"/>
      <c r="I3" s="26"/>
    </row>
    <row r="4" spans="1:9" ht="19.2" thickTop="1" thickBot="1" x14ac:dyDescent="0.35">
      <c r="A4" s="124" t="s">
        <v>140</v>
      </c>
      <c r="B4" s="185" t="s">
        <v>146</v>
      </c>
      <c r="C4" s="186"/>
      <c r="D4" s="186"/>
      <c r="E4" s="186"/>
      <c r="F4" s="187"/>
      <c r="G4" s="193" t="s">
        <v>145</v>
      </c>
      <c r="H4" s="194"/>
      <c r="I4" s="26"/>
    </row>
    <row r="5" spans="1:9" ht="18.600000000000001" thickTop="1" thickBot="1" x14ac:dyDescent="0.4">
      <c r="A5" s="125">
        <v>1</v>
      </c>
      <c r="B5" s="188" t="s">
        <v>144</v>
      </c>
      <c r="C5" s="189"/>
      <c r="D5" s="189"/>
      <c r="E5" s="189"/>
      <c r="F5" s="190"/>
      <c r="G5" s="156" t="str">
        <f>MID(B5,SEARCH("checkno.",B5)+8,LEN(B5))</f>
        <v>12345</v>
      </c>
      <c r="H5" s="158"/>
      <c r="I5" s="26"/>
    </row>
    <row r="6" spans="1:9" ht="18.600000000000001" thickTop="1" thickBot="1" x14ac:dyDescent="0.4">
      <c r="A6" s="123">
        <v>2</v>
      </c>
      <c r="B6" s="146" t="s">
        <v>143</v>
      </c>
      <c r="C6" s="147"/>
      <c r="D6" s="147"/>
      <c r="E6" s="147"/>
      <c r="F6" s="148"/>
      <c r="G6" s="156" t="str">
        <f>MID(B6,SEARCH("checkno.",B6)+8,LEN(B6))</f>
        <v>123456</v>
      </c>
      <c r="H6" s="158"/>
      <c r="I6" s="26"/>
    </row>
    <row r="7" spans="1:9" ht="18.600000000000001" thickTop="1" thickBot="1" x14ac:dyDescent="0.4">
      <c r="A7" s="123">
        <v>3</v>
      </c>
      <c r="B7" s="146" t="s">
        <v>142</v>
      </c>
      <c r="C7" s="147"/>
      <c r="D7" s="147"/>
      <c r="E7" s="147"/>
      <c r="F7" s="148"/>
      <c r="G7" s="156" t="str">
        <f t="shared" ref="G6:G8" si="0">MID(B7,SEARCH("checkno.",B7)+8,LEN(B7))</f>
        <v>000789</v>
      </c>
      <c r="H7" s="158"/>
      <c r="I7" s="26"/>
    </row>
    <row r="8" spans="1:9" ht="18.600000000000001" thickTop="1" thickBot="1" x14ac:dyDescent="0.4">
      <c r="A8" s="123">
        <v>4</v>
      </c>
      <c r="B8" s="149" t="s">
        <v>141</v>
      </c>
      <c r="C8" s="150"/>
      <c r="D8" s="150"/>
      <c r="E8" s="150"/>
      <c r="F8" s="151"/>
      <c r="G8" s="156" t="str">
        <f t="shared" si="0"/>
        <v>123456</v>
      </c>
      <c r="H8" s="158"/>
      <c r="I8" s="26"/>
    </row>
    <row r="9" spans="1:9" ht="15" thickTop="1" x14ac:dyDescent="0.3">
      <c r="A9" s="23"/>
    </row>
  </sheetData>
  <mergeCells count="12">
    <mergeCell ref="B8:F8"/>
    <mergeCell ref="A3:H3"/>
    <mergeCell ref="G4:H4"/>
    <mergeCell ref="G5:H5"/>
    <mergeCell ref="G6:H6"/>
    <mergeCell ref="G7:H7"/>
    <mergeCell ref="G8:H8"/>
    <mergeCell ref="A1:H1"/>
    <mergeCell ref="B4:F4"/>
    <mergeCell ref="B5:F5"/>
    <mergeCell ref="B6:F6"/>
    <mergeCell ref="B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workbookViewId="0">
      <selection activeCell="K12" sqref="K12:K34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69" t="s">
        <v>116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5"/>
      <c r="M1" s="5"/>
      <c r="N1" s="5"/>
      <c r="O1" s="5"/>
      <c r="P1" s="5"/>
      <c r="Q1" s="5"/>
      <c r="R1" s="5"/>
    </row>
    <row r="2" spans="1:18" ht="19.2" thickTop="1" thickBot="1" x14ac:dyDescent="0.4">
      <c r="A2" s="92"/>
      <c r="B2" s="87"/>
      <c r="C2" s="99"/>
      <c r="D2" s="92"/>
      <c r="E2" s="92"/>
      <c r="F2" s="87"/>
      <c r="G2" s="92"/>
      <c r="H2" s="87"/>
      <c r="I2" s="92"/>
      <c r="J2" s="92"/>
      <c r="K2" s="87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195" t="s">
        <v>83</v>
      </c>
      <c r="B3" s="196"/>
      <c r="C3" s="196"/>
      <c r="D3" s="196"/>
      <c r="E3" s="197"/>
      <c r="F3" s="107"/>
      <c r="G3" s="210" t="s">
        <v>84</v>
      </c>
      <c r="H3" s="211"/>
      <c r="I3" s="211"/>
      <c r="J3" s="211"/>
      <c r="K3" s="212"/>
      <c r="L3" s="95"/>
      <c r="M3" s="5"/>
      <c r="N3" s="5"/>
      <c r="O3" s="5"/>
      <c r="P3" s="5"/>
      <c r="Q3" s="5"/>
      <c r="R3" s="5"/>
    </row>
    <row r="4" spans="1:18" ht="19.2" thickTop="1" thickBot="1" x14ac:dyDescent="0.4">
      <c r="A4" s="198"/>
      <c r="B4" s="199"/>
      <c r="C4" s="199"/>
      <c r="D4" s="199"/>
      <c r="E4" s="200"/>
      <c r="F4" s="87"/>
      <c r="G4" s="201" t="s">
        <v>46</v>
      </c>
      <c r="H4" s="202"/>
      <c r="I4" s="203"/>
      <c r="J4" s="201" t="s">
        <v>50</v>
      </c>
      <c r="K4" s="203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87"/>
      <c r="G5" s="204" t="s">
        <v>85</v>
      </c>
      <c r="H5" s="205"/>
      <c r="I5" s="206"/>
      <c r="J5" s="204" t="s">
        <v>86</v>
      </c>
      <c r="K5" s="206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97" t="s">
        <v>94</v>
      </c>
      <c r="B6" s="108"/>
      <c r="C6" s="96"/>
      <c r="D6" s="96"/>
      <c r="E6" s="109"/>
      <c r="F6" s="87"/>
      <c r="G6" s="213" t="s">
        <v>87</v>
      </c>
      <c r="H6" s="214"/>
      <c r="I6" s="215"/>
      <c r="J6" s="213" t="s">
        <v>88</v>
      </c>
      <c r="K6" s="215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06" t="s">
        <v>95</v>
      </c>
      <c r="B7" s="108"/>
      <c r="C7" s="108"/>
      <c r="D7" s="108"/>
      <c r="E7" s="109"/>
      <c r="F7" s="87"/>
      <c r="G7" s="213" t="s">
        <v>89</v>
      </c>
      <c r="H7" s="214"/>
      <c r="I7" s="215"/>
      <c r="J7" s="213" t="s">
        <v>90</v>
      </c>
      <c r="K7" s="215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87"/>
      <c r="G8" s="213" t="s">
        <v>91</v>
      </c>
      <c r="H8" s="214"/>
      <c r="I8" s="215"/>
      <c r="J8" s="213" t="s">
        <v>1</v>
      </c>
      <c r="K8" s="215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87"/>
      <c r="G9" s="207" t="s">
        <v>92</v>
      </c>
      <c r="H9" s="208"/>
      <c r="I9" s="209"/>
      <c r="J9" s="207" t="s">
        <v>93</v>
      </c>
      <c r="K9" s="209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87"/>
      <c r="B10" s="87"/>
      <c r="C10" s="87"/>
      <c r="D10" s="87"/>
      <c r="E10" s="87"/>
      <c r="F10" s="87"/>
      <c r="G10" s="87"/>
      <c r="H10" s="87"/>
      <c r="I10" s="110"/>
      <c r="J10" s="87"/>
      <c r="K10" s="87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98" t="s">
        <v>72</v>
      </c>
      <c r="B11" s="98" t="s">
        <v>73</v>
      </c>
      <c r="C11" s="98" t="s">
        <v>74</v>
      </c>
      <c r="D11" s="98" t="s">
        <v>75</v>
      </c>
      <c r="E11" s="98" t="s">
        <v>76</v>
      </c>
      <c r="F11" s="98" t="s">
        <v>77</v>
      </c>
      <c r="G11" s="98" t="s">
        <v>78</v>
      </c>
      <c r="H11" s="98" t="s">
        <v>79</v>
      </c>
      <c r="I11" s="98" t="s">
        <v>80</v>
      </c>
      <c r="J11" s="98" t="s">
        <v>81</v>
      </c>
      <c r="K11" s="98" t="s">
        <v>82</v>
      </c>
      <c r="L11" s="94"/>
      <c r="M11" s="94"/>
      <c r="N11" s="94"/>
      <c r="O11" s="94"/>
      <c r="P11" s="94"/>
      <c r="Q11" s="94"/>
      <c r="R11" s="94"/>
    </row>
    <row r="12" spans="1:18" ht="15.45" customHeight="1" thickTop="1" thickBot="1" x14ac:dyDescent="0.35">
      <c r="A12" s="100">
        <v>815864</v>
      </c>
      <c r="B12" s="100" t="s">
        <v>47</v>
      </c>
      <c r="C12" s="100">
        <v>57</v>
      </c>
      <c r="D12" s="100">
        <v>25</v>
      </c>
      <c r="E12" s="100">
        <v>41</v>
      </c>
      <c r="F12" s="100">
        <v>62</v>
      </c>
      <c r="G12" s="100">
        <v>93</v>
      </c>
      <c r="H12" s="105">
        <f>SUM(C12:G12)</f>
        <v>278</v>
      </c>
      <c r="I12" s="105">
        <f>(H12/500)*100</f>
        <v>55.600000000000009</v>
      </c>
      <c r="J12" s="105" t="str" cm="1">
        <f t="array" ref="J12">_xlfn.IFS(I12&lt;=33,"Fail",
I12&lt;=45,"C",
I12&lt;=60,"B+",
I12&lt;=80,"B",
I12&gt;80,"A+"
)</f>
        <v>B+</v>
      </c>
      <c r="K12" s="105" t="str">
        <f>IF(I13&gt;=33,"pass","fail")</f>
        <v>pass</v>
      </c>
      <c r="L12" s="5"/>
      <c r="R12" s="5"/>
    </row>
    <row r="13" spans="1:18" ht="16.8" thickTop="1" thickBot="1" x14ac:dyDescent="0.35">
      <c r="A13" s="101">
        <v>815865</v>
      </c>
      <c r="B13" s="101" t="s">
        <v>48</v>
      </c>
      <c r="C13" s="101">
        <v>52</v>
      </c>
      <c r="D13" s="101">
        <v>64</v>
      </c>
      <c r="E13" s="101">
        <v>40</v>
      </c>
      <c r="F13" s="101">
        <v>62</v>
      </c>
      <c r="G13" s="101">
        <v>48</v>
      </c>
      <c r="H13" s="105">
        <f t="shared" ref="H13:H34" si="0">SUM(C13:G13)</f>
        <v>266</v>
      </c>
      <c r="I13" s="105">
        <f t="shared" ref="I13:I34" si="1">(H13/500)*100</f>
        <v>53.2</v>
      </c>
      <c r="J13" s="105" t="str" cm="1">
        <f t="array" ref="J13">_xlfn.IFS(I13&lt;=33,"Fail",
I13&lt;=45,"C",
I13&lt;=60,"B+",
I13&lt;=80,"B",
I13&gt;80,"A+"
)</f>
        <v>B+</v>
      </c>
      <c r="K13" s="105" t="str">
        <f t="shared" ref="K13:K34" si="2">IF(I14&gt;=33,"pass","fail")</f>
        <v>pass</v>
      </c>
      <c r="L13" s="5"/>
      <c r="R13" s="5"/>
    </row>
    <row r="14" spans="1:18" ht="16.8" thickTop="1" thickBot="1" x14ac:dyDescent="0.35">
      <c r="A14" s="101">
        <v>815866</v>
      </c>
      <c r="B14" s="101" t="s">
        <v>49</v>
      </c>
      <c r="C14" s="101">
        <v>35</v>
      </c>
      <c r="D14" s="101">
        <v>60</v>
      </c>
      <c r="E14" s="101">
        <v>44</v>
      </c>
      <c r="F14" s="101">
        <v>59</v>
      </c>
      <c r="G14" s="101">
        <v>82</v>
      </c>
      <c r="H14" s="105">
        <f t="shared" si="0"/>
        <v>280</v>
      </c>
      <c r="I14" s="105">
        <f t="shared" si="1"/>
        <v>56.000000000000007</v>
      </c>
      <c r="J14" s="105" t="str" cm="1">
        <f t="array" ref="J14">_xlfn.IFS(I14&lt;=33,"Fail",
I14&lt;=45,"C",
I14&lt;=60,"B+",
I14&lt;=80,"B",
I14&gt;80,"A+"
)</f>
        <v>B+</v>
      </c>
      <c r="K14" s="105" t="str">
        <f t="shared" si="2"/>
        <v>pass</v>
      </c>
      <c r="L14" s="5"/>
      <c r="R14" s="5"/>
    </row>
    <row r="15" spans="1:18" ht="16.8" thickTop="1" thickBot="1" x14ac:dyDescent="0.35">
      <c r="A15" s="101">
        <v>815867</v>
      </c>
      <c r="B15" s="101" t="s">
        <v>51</v>
      </c>
      <c r="C15" s="101">
        <v>65</v>
      </c>
      <c r="D15" s="101">
        <v>86</v>
      </c>
      <c r="E15" s="101">
        <v>24</v>
      </c>
      <c r="F15" s="101">
        <v>88</v>
      </c>
      <c r="G15" s="101">
        <v>96</v>
      </c>
      <c r="H15" s="105">
        <f t="shared" si="0"/>
        <v>359</v>
      </c>
      <c r="I15" s="105">
        <f t="shared" si="1"/>
        <v>71.8</v>
      </c>
      <c r="J15" s="105" t="str" cm="1">
        <f t="array" ref="J15">_xlfn.IFS(I15&lt;=33,"Fail",
I15&lt;=45,"C",
I15&lt;=60,"B+",
I15&lt;=80,"B",
I15&gt;80,"A+"
)</f>
        <v>B</v>
      </c>
      <c r="K15" s="105" t="str">
        <f t="shared" si="2"/>
        <v>pass</v>
      </c>
    </row>
    <row r="16" spans="1:18" ht="16.8" thickTop="1" thickBot="1" x14ac:dyDescent="0.35">
      <c r="A16" s="101">
        <v>815868</v>
      </c>
      <c r="B16" s="101" t="s">
        <v>52</v>
      </c>
      <c r="C16" s="101">
        <v>42</v>
      </c>
      <c r="D16" s="101">
        <v>74</v>
      </c>
      <c r="E16" s="101">
        <v>83</v>
      </c>
      <c r="F16" s="101">
        <v>96</v>
      </c>
      <c r="G16" s="101">
        <v>72</v>
      </c>
      <c r="H16" s="105">
        <f t="shared" si="0"/>
        <v>367</v>
      </c>
      <c r="I16" s="105">
        <f t="shared" si="1"/>
        <v>73.400000000000006</v>
      </c>
      <c r="J16" s="105" t="str" cm="1">
        <f t="array" ref="J16">_xlfn.IFS(I16&lt;=33,"Fail",
I16&lt;=45,"C",
I16&lt;=60,"B+",
I16&lt;=80,"B",
I16&gt;80,"A+"
)</f>
        <v>B</v>
      </c>
      <c r="K16" s="105" t="str">
        <f t="shared" si="2"/>
        <v>pass</v>
      </c>
    </row>
    <row r="17" spans="1:18" ht="16.8" thickTop="1" thickBot="1" x14ac:dyDescent="0.35">
      <c r="A17" s="101">
        <v>815869</v>
      </c>
      <c r="B17" s="101" t="s">
        <v>53</v>
      </c>
      <c r="C17" s="101">
        <v>21</v>
      </c>
      <c r="D17" s="101">
        <v>85</v>
      </c>
      <c r="E17" s="101">
        <v>73</v>
      </c>
      <c r="F17" s="101">
        <v>30</v>
      </c>
      <c r="G17" s="101">
        <v>36</v>
      </c>
      <c r="H17" s="105">
        <f t="shared" si="0"/>
        <v>245</v>
      </c>
      <c r="I17" s="105">
        <f t="shared" si="1"/>
        <v>49</v>
      </c>
      <c r="J17" s="105" t="str" cm="1">
        <f t="array" ref="J17">_xlfn.IFS(I17&lt;=33,"Fail",
I17&lt;=45,"C",
I17&lt;=60,"B+",
I17&lt;=80,"B",
I17&gt;80,"A+"
)</f>
        <v>B+</v>
      </c>
      <c r="K17" s="105" t="str">
        <f t="shared" si="2"/>
        <v>pass</v>
      </c>
    </row>
    <row r="18" spans="1:18" ht="16.8" thickTop="1" thickBot="1" x14ac:dyDescent="0.35">
      <c r="A18" s="101">
        <v>815870</v>
      </c>
      <c r="B18" s="101" t="s">
        <v>54</v>
      </c>
      <c r="C18" s="101">
        <v>76</v>
      </c>
      <c r="D18" s="101">
        <v>37</v>
      </c>
      <c r="E18" s="101">
        <v>33</v>
      </c>
      <c r="F18" s="101">
        <v>67</v>
      </c>
      <c r="G18" s="101">
        <v>62</v>
      </c>
      <c r="H18" s="105">
        <f t="shared" si="0"/>
        <v>275</v>
      </c>
      <c r="I18" s="105">
        <f t="shared" si="1"/>
        <v>55.000000000000007</v>
      </c>
      <c r="J18" s="105" t="str" cm="1">
        <f t="array" ref="J18">_xlfn.IFS(I18&lt;=33,"Fail",
I18&lt;=45,"C",
I18&lt;=60,"B+",
I18&lt;=80,"B",
I18&gt;80,"A+"
)</f>
        <v>B+</v>
      </c>
      <c r="K18" s="105" t="str">
        <f t="shared" si="2"/>
        <v>pass</v>
      </c>
    </row>
    <row r="19" spans="1:18" ht="16.8" thickTop="1" thickBot="1" x14ac:dyDescent="0.35">
      <c r="A19" s="101">
        <v>815871</v>
      </c>
      <c r="B19" s="101" t="s">
        <v>55</v>
      </c>
      <c r="C19" s="101">
        <v>71</v>
      </c>
      <c r="D19" s="101">
        <v>85</v>
      </c>
      <c r="E19" s="101">
        <v>89</v>
      </c>
      <c r="F19" s="101">
        <v>88</v>
      </c>
      <c r="G19" s="101">
        <v>88</v>
      </c>
      <c r="H19" s="105">
        <f t="shared" si="0"/>
        <v>421</v>
      </c>
      <c r="I19" s="105">
        <f t="shared" si="1"/>
        <v>84.2</v>
      </c>
      <c r="J19" s="105" t="str" cm="1">
        <f t="array" ref="J19">_xlfn.IFS(I19&lt;=33,"Fail",
I19&lt;=45,"C",
I19&lt;=60,"B+",
I19&lt;=80,"B",
I19&gt;80,"A+"
)</f>
        <v>A+</v>
      </c>
      <c r="K19" s="105" t="str">
        <f t="shared" si="2"/>
        <v>pass</v>
      </c>
    </row>
    <row r="20" spans="1:18" ht="16.8" thickTop="1" thickBot="1" x14ac:dyDescent="0.35">
      <c r="A20" s="102">
        <v>815872</v>
      </c>
      <c r="B20" s="101" t="s">
        <v>56</v>
      </c>
      <c r="C20" s="102">
        <v>88</v>
      </c>
      <c r="D20" s="103">
        <v>86</v>
      </c>
      <c r="E20" s="103">
        <v>91</v>
      </c>
      <c r="F20" s="103">
        <v>99</v>
      </c>
      <c r="G20" s="103">
        <v>90</v>
      </c>
      <c r="H20" s="105">
        <f t="shared" si="0"/>
        <v>454</v>
      </c>
      <c r="I20" s="105">
        <f t="shared" si="1"/>
        <v>90.8</v>
      </c>
      <c r="J20" s="105" t="str" cm="1">
        <f t="array" ref="J20">_xlfn.IFS(I20&lt;=33,"Fail",
I20&lt;=45,"C",
I20&lt;=60,"B+",
I20&lt;=80,"B",
I20&gt;80,"A+"
)</f>
        <v>A+</v>
      </c>
      <c r="K20" s="105" t="str">
        <f t="shared" si="2"/>
        <v>pass</v>
      </c>
    </row>
    <row r="21" spans="1:18" ht="16.8" thickTop="1" thickBot="1" x14ac:dyDescent="0.35">
      <c r="A21" s="101">
        <v>815873</v>
      </c>
      <c r="B21" s="101" t="s">
        <v>57</v>
      </c>
      <c r="C21" s="101">
        <v>29</v>
      </c>
      <c r="D21" s="101">
        <v>34</v>
      </c>
      <c r="E21" s="101">
        <v>89</v>
      </c>
      <c r="F21" s="101">
        <v>60</v>
      </c>
      <c r="G21" s="101">
        <v>70</v>
      </c>
      <c r="H21" s="105">
        <f t="shared" si="0"/>
        <v>282</v>
      </c>
      <c r="I21" s="105">
        <f t="shared" si="1"/>
        <v>56.399999999999991</v>
      </c>
      <c r="J21" s="105" t="str" cm="1">
        <f t="array" ref="J21">_xlfn.IFS(I21&lt;=33,"Fail",
I21&lt;=45,"C",
I21&lt;=60,"B+",
I21&lt;=80,"B",
I21&gt;80,"A+"
)</f>
        <v>B+</v>
      </c>
      <c r="K21" s="105" t="str">
        <f t="shared" si="2"/>
        <v>pass</v>
      </c>
    </row>
    <row r="22" spans="1:18" ht="16.8" thickTop="1" thickBot="1" x14ac:dyDescent="0.35">
      <c r="A22" s="101">
        <v>815874</v>
      </c>
      <c r="B22" s="101" t="s">
        <v>58</v>
      </c>
      <c r="C22" s="101">
        <v>26</v>
      </c>
      <c r="D22" s="101">
        <v>82</v>
      </c>
      <c r="E22" s="101">
        <v>73</v>
      </c>
      <c r="F22" s="101">
        <v>46</v>
      </c>
      <c r="G22" s="101">
        <v>62</v>
      </c>
      <c r="H22" s="105">
        <f t="shared" si="0"/>
        <v>289</v>
      </c>
      <c r="I22" s="105">
        <f t="shared" si="1"/>
        <v>57.8</v>
      </c>
      <c r="J22" s="105" t="str" cm="1">
        <f t="array" ref="J22">_xlfn.IFS(I22&lt;=33,"Fail",
I22&lt;=45,"C",
I22&lt;=60,"B+",
I22&lt;=80,"B",
I22&gt;80,"A+"
)</f>
        <v>B+</v>
      </c>
      <c r="K22" s="105" t="str">
        <f t="shared" si="2"/>
        <v>pass</v>
      </c>
    </row>
    <row r="23" spans="1:18" ht="16.8" thickTop="1" thickBot="1" x14ac:dyDescent="0.35">
      <c r="A23" s="101">
        <v>815875</v>
      </c>
      <c r="B23" s="101" t="s">
        <v>59</v>
      </c>
      <c r="C23" s="101">
        <v>53</v>
      </c>
      <c r="D23" s="101">
        <v>27</v>
      </c>
      <c r="E23" s="101">
        <v>30</v>
      </c>
      <c r="F23" s="101">
        <v>86</v>
      </c>
      <c r="G23" s="101">
        <v>38</v>
      </c>
      <c r="H23" s="105">
        <f t="shared" si="0"/>
        <v>234</v>
      </c>
      <c r="I23" s="105">
        <f t="shared" si="1"/>
        <v>46.800000000000004</v>
      </c>
      <c r="J23" s="105" t="str" cm="1">
        <f t="array" ref="J23">_xlfn.IFS(I23&lt;=33,"Fail",
I23&lt;=45,"C",
I23&lt;=60,"B+",
I23&lt;=80,"B",
I23&gt;80,"A+"
)</f>
        <v>B+</v>
      </c>
      <c r="K23" s="105" t="str">
        <f t="shared" si="2"/>
        <v>pass</v>
      </c>
    </row>
    <row r="24" spans="1:18" ht="16.8" thickTop="1" thickBot="1" x14ac:dyDescent="0.35">
      <c r="A24" s="101">
        <v>815876</v>
      </c>
      <c r="B24" s="101" t="s">
        <v>60</v>
      </c>
      <c r="C24" s="101">
        <v>66</v>
      </c>
      <c r="D24" s="101">
        <v>22</v>
      </c>
      <c r="E24" s="101">
        <v>50</v>
      </c>
      <c r="F24" s="101">
        <v>73</v>
      </c>
      <c r="G24" s="101">
        <v>23</v>
      </c>
      <c r="H24" s="105">
        <f t="shared" si="0"/>
        <v>234</v>
      </c>
      <c r="I24" s="105">
        <f t="shared" si="1"/>
        <v>46.800000000000004</v>
      </c>
      <c r="J24" s="105" t="str" cm="1">
        <f t="array" ref="J24">_xlfn.IFS(I24&lt;=33,"Fail",
I24&lt;=45,"C",
I24&lt;=60,"B+",
I24&lt;=80,"B",
I24&gt;80,"A+"
)</f>
        <v>B+</v>
      </c>
      <c r="K24" s="105" t="str">
        <f t="shared" si="2"/>
        <v>pass</v>
      </c>
    </row>
    <row r="25" spans="1:18" ht="16.8" thickTop="1" thickBot="1" x14ac:dyDescent="0.35">
      <c r="A25" s="101">
        <v>815877</v>
      </c>
      <c r="B25" s="101" t="s">
        <v>61</v>
      </c>
      <c r="C25" s="101">
        <v>33</v>
      </c>
      <c r="D25" s="101">
        <v>63</v>
      </c>
      <c r="E25" s="101">
        <v>95</v>
      </c>
      <c r="F25" s="101">
        <v>74</v>
      </c>
      <c r="G25" s="101">
        <v>70</v>
      </c>
      <c r="H25" s="105">
        <f t="shared" si="0"/>
        <v>335</v>
      </c>
      <c r="I25" s="105">
        <f t="shared" si="1"/>
        <v>67</v>
      </c>
      <c r="J25" s="105" t="str" cm="1">
        <f t="array" ref="J25">_xlfn.IFS(I25&lt;=33,"Fail",
I25&lt;=45,"C",
I25&lt;=60,"B+",
I25&lt;=80,"B",
I25&gt;80,"A+"
)</f>
        <v>B</v>
      </c>
      <c r="K25" s="105" t="str">
        <f t="shared" si="2"/>
        <v>pass</v>
      </c>
    </row>
    <row r="26" spans="1:18" ht="16.8" thickTop="1" thickBot="1" x14ac:dyDescent="0.35">
      <c r="A26" s="101">
        <v>815878</v>
      </c>
      <c r="B26" s="101" t="s">
        <v>62</v>
      </c>
      <c r="C26" s="101">
        <v>24</v>
      </c>
      <c r="D26" s="101">
        <v>51</v>
      </c>
      <c r="E26" s="101">
        <v>70</v>
      </c>
      <c r="F26" s="101">
        <v>47</v>
      </c>
      <c r="G26" s="101">
        <v>28</v>
      </c>
      <c r="H26" s="105">
        <f t="shared" si="0"/>
        <v>220</v>
      </c>
      <c r="I26" s="105">
        <f t="shared" si="1"/>
        <v>44</v>
      </c>
      <c r="J26" s="105" t="str" cm="1">
        <f t="array" ref="J26">_xlfn.IFS(I26&lt;=33,"Fail",
I26&lt;=45,"C",
I26&lt;=60,"B+",
I26&lt;=80,"B",
I26&gt;80,"A+"
)</f>
        <v>C</v>
      </c>
      <c r="K26" s="105" t="str">
        <f t="shared" si="2"/>
        <v>pass</v>
      </c>
    </row>
    <row r="27" spans="1:18" ht="16.8" thickTop="1" thickBot="1" x14ac:dyDescent="0.35">
      <c r="A27" s="101">
        <v>815879</v>
      </c>
      <c r="B27" s="101" t="s">
        <v>63</v>
      </c>
      <c r="C27" s="101">
        <v>62</v>
      </c>
      <c r="D27" s="101">
        <v>88</v>
      </c>
      <c r="E27" s="101">
        <v>84</v>
      </c>
      <c r="F27" s="101">
        <v>68</v>
      </c>
      <c r="G27" s="101">
        <v>65</v>
      </c>
      <c r="H27" s="105">
        <f t="shared" si="0"/>
        <v>367</v>
      </c>
      <c r="I27" s="105">
        <f t="shared" si="1"/>
        <v>73.400000000000006</v>
      </c>
      <c r="J27" s="105" t="str" cm="1">
        <f t="array" ref="J27">_xlfn.IFS(I27&lt;=33,"Fail",
I27&lt;=45,"C",
I27&lt;=60,"B+",
I27&lt;=80,"B",
I27&gt;80,"A+"
)</f>
        <v>B</v>
      </c>
      <c r="K27" s="105" t="str">
        <f t="shared" si="2"/>
        <v>pass</v>
      </c>
    </row>
    <row r="28" spans="1:18" ht="16.8" thickTop="1" thickBot="1" x14ac:dyDescent="0.35">
      <c r="A28" s="101">
        <v>815880</v>
      </c>
      <c r="B28" s="101" t="s">
        <v>64</v>
      </c>
      <c r="C28" s="101">
        <v>21</v>
      </c>
      <c r="D28" s="101">
        <v>41</v>
      </c>
      <c r="E28" s="101">
        <v>41</v>
      </c>
      <c r="F28" s="101">
        <v>62</v>
      </c>
      <c r="G28" s="101">
        <v>47</v>
      </c>
      <c r="H28" s="105">
        <f t="shared" si="0"/>
        <v>212</v>
      </c>
      <c r="I28" s="105">
        <f t="shared" si="1"/>
        <v>42.4</v>
      </c>
      <c r="J28" s="105" t="str" cm="1">
        <f t="array" ref="J28">_xlfn.IFS(I28&lt;=33,"Fail",
I28&lt;=45,"C",
I28&lt;=60,"B+",
I28&lt;=80,"B",
I28&gt;80,"A+"
)</f>
        <v>C</v>
      </c>
      <c r="K28" s="105" t="str">
        <f t="shared" si="2"/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101">
        <v>815881</v>
      </c>
      <c r="B29" s="101" t="s">
        <v>65</v>
      </c>
      <c r="C29" s="101">
        <v>92</v>
      </c>
      <c r="D29" s="101">
        <v>53</v>
      </c>
      <c r="E29" s="101">
        <v>91</v>
      </c>
      <c r="F29" s="101">
        <v>32</v>
      </c>
      <c r="G29" s="101">
        <v>52</v>
      </c>
      <c r="H29" s="105">
        <f t="shared" si="0"/>
        <v>320</v>
      </c>
      <c r="I29" s="105">
        <f t="shared" si="1"/>
        <v>64</v>
      </c>
      <c r="J29" s="105" t="str" cm="1">
        <f t="array" ref="J29">_xlfn.IFS(I29&lt;=33,"Fail",
I29&lt;=45,"C",
I29&lt;=60,"B+",
I29&lt;=80,"B",
I29&gt;80,"A+"
)</f>
        <v>B</v>
      </c>
      <c r="K29" s="105" t="str">
        <f t="shared" si="2"/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101">
        <v>815882</v>
      </c>
      <c r="B30" s="101" t="s">
        <v>66</v>
      </c>
      <c r="C30" s="101">
        <v>71</v>
      </c>
      <c r="D30" s="101">
        <v>88</v>
      </c>
      <c r="E30" s="101">
        <v>25</v>
      </c>
      <c r="F30" s="101">
        <v>89</v>
      </c>
      <c r="G30" s="101">
        <v>72</v>
      </c>
      <c r="H30" s="105">
        <f t="shared" si="0"/>
        <v>345</v>
      </c>
      <c r="I30" s="105">
        <f t="shared" si="1"/>
        <v>69</v>
      </c>
      <c r="J30" s="105" t="str" cm="1">
        <f t="array" ref="J30">_xlfn.IFS(I30&lt;=33,"Fail",
I30&lt;=45,"C",
I30&lt;=60,"B+",
I30&lt;=80,"B",
I30&gt;80,"A+"
)</f>
        <v>B</v>
      </c>
      <c r="K30" s="105" t="str">
        <f t="shared" si="2"/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101">
        <v>815883</v>
      </c>
      <c r="B31" s="101" t="s">
        <v>67</v>
      </c>
      <c r="C31" s="101">
        <v>66</v>
      </c>
      <c r="D31" s="101">
        <v>68</v>
      </c>
      <c r="E31" s="101">
        <v>96</v>
      </c>
      <c r="F31" s="101">
        <v>44</v>
      </c>
      <c r="G31" s="101">
        <v>72</v>
      </c>
      <c r="H31" s="105">
        <f t="shared" si="0"/>
        <v>346</v>
      </c>
      <c r="I31" s="105">
        <f t="shared" si="1"/>
        <v>69.199999999999989</v>
      </c>
      <c r="J31" s="105" t="str" cm="1">
        <f t="array" ref="J31">_xlfn.IFS(I31&lt;=33,"Fail",
I31&lt;=45,"C",
I31&lt;=60,"B+",
I31&lt;=80,"B",
I31&gt;80,"A+"
)</f>
        <v>B</v>
      </c>
      <c r="K31" s="105" t="str">
        <f t="shared" si="2"/>
        <v>fail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101">
        <v>815884</v>
      </c>
      <c r="B32" s="101" t="s">
        <v>68</v>
      </c>
      <c r="C32" s="101">
        <v>33</v>
      </c>
      <c r="D32" s="101">
        <v>29</v>
      </c>
      <c r="E32" s="101">
        <v>27</v>
      </c>
      <c r="F32" s="101">
        <v>44</v>
      </c>
      <c r="G32" s="101">
        <v>21</v>
      </c>
      <c r="H32" s="105">
        <f t="shared" si="0"/>
        <v>154</v>
      </c>
      <c r="I32" s="105">
        <f t="shared" si="1"/>
        <v>30.8</v>
      </c>
      <c r="J32" s="105" t="str" cm="1">
        <f t="array" ref="J32">_xlfn.IFS(I32&lt;=33,"Fail",
I32&lt;=45,"C",
I32&lt;=60,"B+",
I32&lt;=80,"B",
I32&gt;80,"A+"
)</f>
        <v>Fail</v>
      </c>
      <c r="K32" s="105" t="str">
        <f t="shared" si="2"/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101">
        <v>815885</v>
      </c>
      <c r="B33" s="101" t="s">
        <v>69</v>
      </c>
      <c r="C33" s="101">
        <v>22</v>
      </c>
      <c r="D33" s="101">
        <v>28</v>
      </c>
      <c r="E33" s="101">
        <v>33</v>
      </c>
      <c r="F33" s="101">
        <v>26</v>
      </c>
      <c r="G33" s="101">
        <v>42</v>
      </c>
      <c r="H33" s="105">
        <f t="shared" si="0"/>
        <v>151</v>
      </c>
      <c r="I33" s="105">
        <f t="shared" si="1"/>
        <v>30.2</v>
      </c>
      <c r="J33" s="105" t="str" cm="1">
        <f t="array" ref="J33">_xlfn.IFS(I33&lt;=33,"Fail",
I33&lt;=45,"C",
I33&lt;=60,"B+",
I33&lt;=80,"B",
I33&gt;80,"A+"
)</f>
        <v>Fail</v>
      </c>
      <c r="K33" s="105" t="str">
        <f t="shared" si="2"/>
        <v>pass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104">
        <v>815886</v>
      </c>
      <c r="B34" s="104" t="s">
        <v>70</v>
      </c>
      <c r="C34" s="104">
        <v>48</v>
      </c>
      <c r="D34" s="104">
        <v>82</v>
      </c>
      <c r="E34" s="104">
        <v>95</v>
      </c>
      <c r="F34" s="104">
        <v>53</v>
      </c>
      <c r="G34" s="104">
        <v>47</v>
      </c>
      <c r="H34" s="105">
        <f t="shared" si="0"/>
        <v>325</v>
      </c>
      <c r="I34" s="105">
        <f t="shared" si="1"/>
        <v>65</v>
      </c>
      <c r="J34" s="105" t="str" cm="1">
        <f t="array" ref="J34">_xlfn.IFS(I34&lt;=33,"Fail",
I34&lt;=45,"C",
I34&lt;=60,"B+",
I34&lt;=80,"B",
I34&gt;80,"A+"
)</f>
        <v>B</v>
      </c>
      <c r="K34" s="105" t="str">
        <f t="shared" si="2"/>
        <v>fail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G9:I9"/>
    <mergeCell ref="J9:K9"/>
    <mergeCell ref="G3:K3"/>
    <mergeCell ref="G6:I6"/>
    <mergeCell ref="J6:K6"/>
    <mergeCell ref="G7:I7"/>
    <mergeCell ref="J7:K7"/>
    <mergeCell ref="G8:I8"/>
    <mergeCell ref="J8:K8"/>
    <mergeCell ref="A3:E4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shounak marskolhe</cp:lastModifiedBy>
  <dcterms:created xsi:type="dcterms:W3CDTF">2011-10-09T12:51:01Z</dcterms:created>
  <dcterms:modified xsi:type="dcterms:W3CDTF">2026-07-04T19:54:48Z</dcterms:modified>
</cp:coreProperties>
</file>